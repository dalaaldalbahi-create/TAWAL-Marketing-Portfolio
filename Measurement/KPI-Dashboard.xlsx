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https://pnuedu-my.sharepoint.com/personal/445005019_pnu_edu_sa/Documents/"/>
    </mc:Choice>
  </mc:AlternateContent>
  <xr:revisionPtr revIDLastSave="0" documentId="8_{86E89789-1A61-E641-AC65-D93CC39B0C34}" xr6:coauthVersionLast="47" xr6:coauthVersionMax="47" xr10:uidLastSave="{00000000-0000-0000-0000-000000000000}"/>
  <bookViews>
    <workbookView xWindow="1536" yWindow="1464" windowWidth="19788" windowHeight="11496" xr2:uid="{00000000-000D-0000-FFFF-FFFF00000000}"/>
  </bookViews>
  <sheets>
    <sheet name="Dashboard" sheetId="1" r:id="rId1"/>
  </sheets>
  <definedNames>
    <definedName name="_xlnm._FilterDatabase" localSheetId="0" hidden="1">Dashboard!$A$9:$M$13</definedName>
    <definedName name="_xlnm.Print_Area" localSheetId="0">Dashboard!$A$1:$M$16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C14" i="1"/>
  <c r="M14" i="1"/>
  <c r="K10" i="1"/>
  <c r="K11" i="1"/>
  <c r="K12" i="1"/>
  <c r="K13" i="1"/>
  <c r="K14" i="1"/>
  <c r="L14" i="1"/>
  <c r="J14" i="1"/>
  <c r="I14" i="1"/>
  <c r="H14" i="1"/>
  <c r="F14" i="1"/>
  <c r="E14" i="1"/>
  <c r="D14" i="1"/>
  <c r="M13" i="1"/>
  <c r="L13" i="1"/>
  <c r="M12" i="1"/>
  <c r="L12" i="1"/>
  <c r="M11" i="1"/>
  <c r="L11" i="1"/>
  <c r="M10" i="1"/>
  <c r="L10" i="1"/>
  <c r="E7" i="1"/>
  <c r="B7" i="1"/>
  <c r="K5" i="1"/>
  <c r="H5" i="1"/>
  <c r="E5" i="1"/>
  <c r="B5" i="1"/>
</calcChain>
</file>

<file path=xl/sharedStrings.xml><?xml version="1.0" encoding="utf-8"?>
<sst xmlns="http://schemas.openxmlformats.org/spreadsheetml/2006/main" count="28" uniqueCount="27">
  <si>
    <t>TAWAL | Simple KPI Dashboard</t>
  </si>
  <si>
    <t>Sample / Hypothetical Data — Not TAWAL Results</t>
  </si>
  <si>
    <t>Replace inputs with approved analytics before use. Engagement rate = (reactions + comments + shares) ÷ impressions. Link CTR = link clicks ÷ impressions.</t>
  </si>
  <si>
    <t>Total impressions</t>
  </si>
  <si>
    <t>Total engagements</t>
  </si>
  <si>
    <t>Average engagement rate</t>
  </si>
  <si>
    <t>Total link clicks</t>
  </si>
  <si>
    <t>Website sessions (sample)</t>
  </si>
  <si>
    <t>Qualified inquiries (sample)</t>
  </si>
  <si>
    <t>Week</t>
  </si>
  <si>
    <t>Post date</t>
  </si>
  <si>
    <t>Impressions</t>
  </si>
  <si>
    <t>Reactions</t>
  </si>
  <si>
    <t>Comments</t>
  </si>
  <si>
    <t>Shares</t>
  </si>
  <si>
    <t>Link clicks</t>
  </si>
  <si>
    <t>New followers</t>
  </si>
  <si>
    <t>Website sessions</t>
  </si>
  <si>
    <t>Qualified inquiries</t>
  </si>
  <si>
    <t>Engagement rate</t>
  </si>
  <si>
    <t>Link CTR</t>
  </si>
  <si>
    <t>Week 1</t>
  </si>
  <si>
    <t>Week 2</t>
  </si>
  <si>
    <t>Week 3</t>
  </si>
  <si>
    <t>Week 4</t>
  </si>
  <si>
    <t>Total / average</t>
  </si>
  <si>
    <t>Interpretation: use the figures to practise reading basic metrics only. Website sessions and inquiries are sample-only too; real attribution depends on analytics access and a consistent definition.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</si>
</sst>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\ mmm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7F6000"/>
      <name val="Calibri"/>
    </font>
    <font>
      <i/>
      <sz val="9"/>
      <color rgb="FF536575"/>
      <name val="Calibri"/>
    </font>
    <font>
      <b/>
      <sz val="10"/>
      <color rgb="FFFFFFFF"/>
      <name val="Calibri"/>
    </font>
    <font>
      <b/>
      <sz val="13"/>
      <color rgb="FF16324F"/>
      <name val="Calibri"/>
    </font>
    <font>
      <b/>
      <sz val="9"/>
      <color rgb="FFFFFFFF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1"/>
      <color rgb="FF16324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1F7A8C"/>
      </patternFill>
    </fill>
    <fill>
      <patternFill patternType="solid">
        <fgColor rgb="FFEAF2F5"/>
      </patternFill>
    </fill>
    <fill>
      <patternFill patternType="solid">
        <fgColor rgb="FFF3F6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E1E8"/>
      </bottom>
      <diagonal/>
    </border>
    <border>
      <left/>
      <right/>
      <top style="thin">
        <color rgb="FF1F7A8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164" fontId="0" fillId="0" borderId="0" xfId="0" applyNumberForma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9" fillId="5" borderId="2" xfId="0" applyFont="1" applyFill="1" applyBorder="1"/>
    <xf numFmtId="164" fontId="9" fillId="5" borderId="2" xfId="0" applyNumberFormat="1" applyFont="1" applyFill="1" applyBorder="1"/>
    <xf numFmtId="165" fontId="7" fillId="0" borderId="1" xfId="0" applyNumberFormat="1" applyFont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7A8C"/>
    <pageSetUpPr fitToPage="1"/>
  </sheetPr>
  <dimension ref="A1:M16"/>
  <sheetViews>
    <sheetView showGridLines="0" tabSelected="1" workbookViewId="0">
      <pane ySplit="9" topLeftCell="A10" activePane="bottomLeft" state="frozen"/>
      <selection pane="bottomLeft" sqref="A1:M1"/>
    </sheetView>
  </sheetViews>
  <sheetFormatPr defaultRowHeight="15" x14ac:dyDescent="0.2"/>
  <cols>
    <col min="1" max="1" width="13.98828125" customWidth="1"/>
    <col min="2" max="2" width="13.046875" customWidth="1"/>
    <col min="3" max="3" width="14.9296875" customWidth="1"/>
    <col min="4" max="5" width="11.97265625" customWidth="1"/>
    <col min="6" max="6" width="11.02734375" customWidth="1"/>
    <col min="7" max="7" width="13.046875" customWidth="1"/>
    <col min="8" max="8" width="13.98828125" customWidth="1"/>
    <col min="9" max="9" width="16.94921875" customWidth="1"/>
    <col min="10" max="10" width="18.96484375" customWidth="1"/>
    <col min="11" max="12" width="16.94921875" customWidth="1"/>
    <col min="13" max="13" width="11.97265625" customWidth="1"/>
  </cols>
  <sheetData>
    <row r="1" spans="1:13" ht="30" customHeight="1" x14ac:dyDescent="0.2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7.95" customHeight="1" x14ac:dyDescent="0.2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30" customHeight="1" x14ac:dyDescent="0.2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5" spans="1:13" ht="38.1" customHeight="1" x14ac:dyDescent="0.2">
      <c r="A5" s="1" t="s">
        <v>3</v>
      </c>
      <c r="B5" s="2">
        <f>SUM(C10:C13)</f>
        <v>6710</v>
      </c>
      <c r="D5" s="1" t="s">
        <v>4</v>
      </c>
      <c r="E5" s="2">
        <f>SUM(K10:K13)</f>
        <v>233</v>
      </c>
      <c r="G5" s="1" t="s">
        <v>5</v>
      </c>
      <c r="H5" s="2">
        <f>IFERROR(AVERAGE(L10:L13),0)</f>
        <v>3.4551195964775662E-2</v>
      </c>
      <c r="J5" s="1" t="s">
        <v>6</v>
      </c>
      <c r="K5" s="2">
        <f>SUM(G10:G13)</f>
        <v>133</v>
      </c>
    </row>
    <row r="6" spans="1:13" ht="27.95" customHeight="1" x14ac:dyDescent="0.2">
      <c r="H6" s="3"/>
    </row>
    <row r="7" spans="1:13" ht="38.1" customHeight="1" x14ac:dyDescent="0.2">
      <c r="A7" s="1" t="s">
        <v>7</v>
      </c>
      <c r="B7" s="2">
        <f>SUM(I10:I13)</f>
        <v>103</v>
      </c>
      <c r="D7" s="1" t="s">
        <v>8</v>
      </c>
      <c r="E7" s="2">
        <f>SUM(J10:J13)</f>
        <v>4</v>
      </c>
    </row>
    <row r="8" spans="1:13" ht="27.95" customHeight="1" x14ac:dyDescent="0.2"/>
    <row r="9" spans="1:13" ht="33.950000000000003" customHeight="1" x14ac:dyDescent="0.2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4</v>
      </c>
      <c r="L9" s="4" t="s">
        <v>19</v>
      </c>
      <c r="M9" s="4" t="s">
        <v>20</v>
      </c>
    </row>
    <row r="10" spans="1:13" ht="24" customHeight="1" x14ac:dyDescent="0.2">
      <c r="A10" s="5" t="s">
        <v>21</v>
      </c>
      <c r="B10" s="13">
        <v>46329</v>
      </c>
      <c r="C10" s="6">
        <v>1450</v>
      </c>
      <c r="D10" s="6">
        <v>38</v>
      </c>
      <c r="E10" s="6">
        <v>4</v>
      </c>
      <c r="F10" s="6">
        <v>6</v>
      </c>
      <c r="G10" s="6">
        <v>23</v>
      </c>
      <c r="H10" s="6">
        <v>5</v>
      </c>
      <c r="I10" s="6">
        <v>18</v>
      </c>
      <c r="J10" s="6">
        <v>0</v>
      </c>
      <c r="K10" s="7">
        <f>SUM(D10:F10)</f>
        <v>48</v>
      </c>
      <c r="L10" s="8">
        <f>IFERROR(K10/C10,0)</f>
        <v>3.310344827586207E-2</v>
      </c>
      <c r="M10" s="8">
        <f>IFERROR(G10/C10,0)</f>
        <v>1.5862068965517243E-2</v>
      </c>
    </row>
    <row r="11" spans="1:13" ht="24" customHeight="1" x14ac:dyDescent="0.2">
      <c r="A11" s="9" t="s">
        <v>22</v>
      </c>
      <c r="B11" s="14">
        <v>46336</v>
      </c>
      <c r="C11" s="10">
        <v>1730</v>
      </c>
      <c r="D11" s="10">
        <v>45</v>
      </c>
      <c r="E11" s="10">
        <v>6</v>
      </c>
      <c r="F11" s="10">
        <v>9</v>
      </c>
      <c r="G11" s="10">
        <v>35</v>
      </c>
      <c r="H11" s="10">
        <v>6</v>
      </c>
      <c r="I11" s="10">
        <v>27</v>
      </c>
      <c r="J11" s="10">
        <v>1</v>
      </c>
      <c r="K11" s="7">
        <f>SUM(D11:F11)</f>
        <v>60</v>
      </c>
      <c r="L11" s="8">
        <f>IFERROR(K11/C11,0)</f>
        <v>3.4682080924855488E-2</v>
      </c>
      <c r="M11" s="8">
        <f>IFERROR(G11/C11,0)</f>
        <v>2.023121387283237E-2</v>
      </c>
    </row>
    <row r="12" spans="1:13" ht="24" customHeight="1" x14ac:dyDescent="0.2">
      <c r="A12" s="5" t="s">
        <v>23</v>
      </c>
      <c r="B12" s="13">
        <v>46343</v>
      </c>
      <c r="C12" s="6">
        <v>1610</v>
      </c>
      <c r="D12" s="6">
        <v>41</v>
      </c>
      <c r="E12" s="6">
        <v>5</v>
      </c>
      <c r="F12" s="6">
        <v>7</v>
      </c>
      <c r="G12" s="6">
        <v>29</v>
      </c>
      <c r="H12" s="6">
        <v>4</v>
      </c>
      <c r="I12" s="6">
        <v>22</v>
      </c>
      <c r="J12" s="6">
        <v>1</v>
      </c>
      <c r="K12" s="7">
        <f>SUM(D12:F12)</f>
        <v>53</v>
      </c>
      <c r="L12" s="8">
        <f>IFERROR(K12/C12,0)</f>
        <v>3.2919254658385091E-2</v>
      </c>
      <c r="M12" s="8">
        <f>IFERROR(G12/C12,0)</f>
        <v>1.8012422360248446E-2</v>
      </c>
    </row>
    <row r="13" spans="1:13" ht="24" customHeight="1" x14ac:dyDescent="0.2">
      <c r="A13" s="9" t="s">
        <v>24</v>
      </c>
      <c r="B13" s="14">
        <v>46350</v>
      </c>
      <c r="C13" s="10">
        <v>1920</v>
      </c>
      <c r="D13" s="10">
        <v>53</v>
      </c>
      <c r="E13" s="10">
        <v>8</v>
      </c>
      <c r="F13" s="10">
        <v>11</v>
      </c>
      <c r="G13" s="10">
        <v>46</v>
      </c>
      <c r="H13" s="10">
        <v>7</v>
      </c>
      <c r="I13" s="10">
        <v>36</v>
      </c>
      <c r="J13" s="10">
        <v>2</v>
      </c>
      <c r="K13" s="7">
        <f>SUM(D13:F13)</f>
        <v>72</v>
      </c>
      <c r="L13" s="8">
        <f>IFERROR(K13/C13,0)</f>
        <v>3.7499999999999999E-2</v>
      </c>
      <c r="M13" s="8">
        <f>IFERROR(G13/C13,0)</f>
        <v>2.3958333333333335E-2</v>
      </c>
    </row>
    <row r="14" spans="1:13" x14ac:dyDescent="0.2">
      <c r="A14" s="11" t="s">
        <v>25</v>
      </c>
      <c r="B14" s="11"/>
      <c r="C14" s="11">
        <f t="shared" ref="C14:K14" si="0">SUM(C10:C13)</f>
        <v>6710</v>
      </c>
      <c r="D14" s="11">
        <f t="shared" si="0"/>
        <v>177</v>
      </c>
      <c r="E14" s="11">
        <f t="shared" si="0"/>
        <v>23</v>
      </c>
      <c r="F14" s="11">
        <f t="shared" si="0"/>
        <v>33</v>
      </c>
      <c r="G14" s="11">
        <f t="shared" si="0"/>
        <v>133</v>
      </c>
      <c r="H14" s="11">
        <f t="shared" si="0"/>
        <v>22</v>
      </c>
      <c r="I14" s="11">
        <f t="shared" si="0"/>
        <v>103</v>
      </c>
      <c r="J14" s="11">
        <f t="shared" si="0"/>
        <v>4</v>
      </c>
      <c r="K14" s="11">
        <f t="shared" si="0"/>
        <v>233</v>
      </c>
      <c r="L14" s="12">
        <f>IFERROR(K14/C14,0)</f>
        <v>3.4724292101341279E-2</v>
      </c>
      <c r="M14" s="12">
        <f>IFERROR(G14/C14,0)</f>
        <v>1.9821162444113263E-2</v>
      </c>
    </row>
    <row r="16" spans="1:13" ht="32.1" customHeight="1" x14ac:dyDescent="0.2">
      <c r="A16" s="18" t="s">
        <v>26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</sheetData>
  <autoFilter ref="A9:M13" xr:uid="{00000000-0009-0000-0000-000000000000}"/>
  <mergeCells count="4">
    <mergeCell ref="A3:M3"/>
    <mergeCell ref="A2:M2"/>
    <mergeCell ref="A16:M16"/>
    <mergeCell ref="A1:M1"/>
  </mergeCells>
  <pageMargins left="0.2" right="0.2" top="0.4" bottom="0.4" header="0.2" footer="0.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Dalal Aldalbahi</dc:creator>
  <cp:lastModifiedBy>دلال شرار بن ذعار الدلبحي</cp:lastModifiedBy>
  <dcterms:created xsi:type="dcterms:W3CDTF">2026-10-04T22:02:14Z</dcterms:created>
  <dcterms:modified xsi:type="dcterms:W3CDTF">2026-10-20T23:54:42Z</dcterms:modified>
</cp:coreProperties>
</file>